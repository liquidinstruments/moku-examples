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Laura\Documents\Git\Git\moku-examples\mcc\HDLCoder\hdlcoder_boxcar\"/>
    </mc:Choice>
  </mc:AlternateContent>
  <xr:revisionPtr revIDLastSave="0" documentId="13_ncr:1_{EEC0E846-A14D-4A6A-9234-EF08EA5D59CC}" xr6:coauthVersionLast="47" xr6:coauthVersionMax="47" xr10:uidLastSave="{00000000-0000-0000-0000-000000000000}"/>
  <bookViews>
    <workbookView xWindow="-110" yWindow="-110" windowWidth="38620" windowHeight="21100" xr2:uid="{01A0A53E-A3B7-450A-A2E0-587E41CE111F}"/>
  </bookViews>
  <sheets>
    <sheet name="Sheet1" sheetId="1" r:id="rId1"/>
  </sheets>
  <definedNames>
    <definedName name="_xleta.DB" hidden="1" xlm="1">#NAME?</definedName>
    <definedName name="MokuGo">Sheet1!$M$5:$N$5</definedName>
    <definedName name="MokuLab">Sheet1!$M$6:$N$6</definedName>
    <definedName name="MokuPro">Sheet1!$M$7:$O$7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3" i="1" l="1"/>
  <c r="I6" i="1"/>
  <c r="H6" i="1"/>
  <c r="C10" i="1" a="1"/>
  <c r="C10" i="1" s="1"/>
  <c r="J11" i="1"/>
  <c r="J9" i="1"/>
  <c r="J6" i="1"/>
  <c r="I11" i="1"/>
  <c r="I9" i="1"/>
  <c r="H11" i="1"/>
  <c r="H9" i="1"/>
  <c r="J10" i="1" l="1"/>
  <c r="I10" i="1"/>
  <c r="H10" i="1"/>
  <c r="B14" i="1" l="1"/>
  <c r="I7" i="1"/>
  <c r="I8" i="1"/>
  <c r="H8" i="1"/>
  <c r="J8" i="1"/>
  <c r="J7" i="1" l="1"/>
  <c r="H7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<sst xmlns="http://schemas.openxmlformats.org/spreadsheetml/2006/main" count="45" uniqueCount="37">
  <si>
    <t>Control0</t>
  </si>
  <si>
    <t>Control1</t>
  </si>
  <si>
    <t>Control2</t>
  </si>
  <si>
    <t>Control3</t>
  </si>
  <si>
    <t>Control4</t>
  </si>
  <si>
    <t>Control5</t>
  </si>
  <si>
    <t>Trigger Level (V)</t>
  </si>
  <si>
    <t>Trigger Delay (ns)</t>
  </si>
  <si>
    <t>Boxcar Gate Width (ns)</t>
  </si>
  <si>
    <t>Output Signal Gain Factor (1, 10, etc.)</t>
  </si>
  <si>
    <t>Averager Length (# of Boxcar Integrations for Average)</t>
  </si>
  <si>
    <t>Boxcar Input Parameters</t>
  </si>
  <si>
    <t>Your Input Parameters</t>
  </si>
  <si>
    <t>Input Control Values</t>
  </si>
  <si>
    <t>Decimal (Unsigned)</t>
  </si>
  <si>
    <t>Input range limits</t>
  </si>
  <si>
    <t>Register</t>
  </si>
  <si>
    <t>Select Input Attennuation:</t>
  </si>
  <si>
    <t>Select Your Moku Device:</t>
  </si>
  <si>
    <t>0 dB</t>
  </si>
  <si>
    <t>-14 dB</t>
  </si>
  <si>
    <t>-20 dB</t>
  </si>
  <si>
    <t>-40 dB</t>
  </si>
  <si>
    <t>MokuPro</t>
  </si>
  <si>
    <t>MokuLab</t>
  </si>
  <si>
    <t>MokuGo</t>
  </si>
  <si>
    <t>NOTE: If trigger level &lt; 0, use Decimal (Signed) for Control0</t>
  </si>
  <si>
    <t>Average output scale factor:</t>
  </si>
  <si>
    <t>Integral output scale factor:</t>
  </si>
  <si>
    <t>Select Align vs. Output Mode</t>
  </si>
  <si>
    <t>Output</t>
  </si>
  <si>
    <t>Align</t>
  </si>
  <si>
    <t>Macros must be enabled for the range limits to update correctly with different device types and input attenuation settings.</t>
  </si>
  <si>
    <t>1 - 65535</t>
  </si>
  <si>
    <t>1/(2^16) - 65536 (Typically &lt;1)</t>
  </si>
  <si>
    <t>-5 - 5</t>
  </si>
  <si>
    <t>0 - 2097152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</si>
</sst>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"/>
  </numFmts>
  <fonts count="5" x14ac:knownFonts="1">
    <font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14"/>
      <color theme="0"/>
      <name val="Aptos Narrow"/>
      <family val="2"/>
      <scheme val="minor"/>
    </font>
    <font>
      <sz val="14"/>
      <color theme="0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0" tint="-0.1499984740745262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2" fillId="0" borderId="0" xfId="0" applyFont="1" applyProtection="1">
      <protection locked="0"/>
    </xf>
    <xf numFmtId="0" fontId="1" fillId="0" borderId="0" xfId="0" applyFont="1" applyProtection="1">
      <protection locked="0"/>
    </xf>
    <xf numFmtId="0" fontId="1" fillId="0" borderId="8" xfId="0" applyFont="1" applyBorder="1" applyProtection="1">
      <protection locked="0"/>
    </xf>
    <xf numFmtId="0" fontId="1" fillId="0" borderId="0" xfId="0" applyFont="1" applyAlignment="1" applyProtection="1">
      <alignment horizontal="center"/>
      <protection locked="0"/>
    </xf>
    <xf numFmtId="0" fontId="2" fillId="0" borderId="0" xfId="0" applyFont="1" applyAlignment="1" applyProtection="1">
      <alignment horizontal="left"/>
      <protection locked="0"/>
    </xf>
    <xf numFmtId="0" fontId="1" fillId="3" borderId="10" xfId="0" applyFont="1" applyFill="1" applyBorder="1" applyProtection="1">
      <protection locked="0"/>
    </xf>
    <xf numFmtId="0" fontId="2" fillId="3" borderId="5" xfId="0" applyFont="1" applyFill="1" applyBorder="1" applyProtection="1">
      <protection locked="0"/>
    </xf>
    <xf numFmtId="0" fontId="1" fillId="3" borderId="4" xfId="0" applyFont="1" applyFill="1" applyBorder="1" applyProtection="1">
      <protection locked="0"/>
    </xf>
    <xf numFmtId="0" fontId="1" fillId="3" borderId="6" xfId="0" applyFont="1" applyFill="1" applyBorder="1" applyProtection="1">
      <protection locked="0"/>
    </xf>
    <xf numFmtId="0" fontId="2" fillId="3" borderId="1" xfId="0" applyFont="1" applyFill="1" applyBorder="1" applyAlignment="1" applyProtection="1">
      <alignment horizontal="center" vertical="center"/>
      <protection locked="0"/>
    </xf>
    <xf numFmtId="0" fontId="2" fillId="3" borderId="1" xfId="0" applyFont="1" applyFill="1" applyBorder="1" applyAlignment="1" applyProtection="1">
      <alignment horizontal="center" vertical="center" wrapText="1"/>
      <protection locked="0"/>
    </xf>
    <xf numFmtId="0" fontId="4" fillId="0" borderId="0" xfId="0" applyFont="1" applyAlignment="1" applyProtection="1">
      <alignment horizontal="center"/>
      <protection locked="0"/>
    </xf>
    <xf numFmtId="0" fontId="4" fillId="0" borderId="0" xfId="0" quotePrefix="1" applyFont="1" applyAlignment="1" applyProtection="1">
      <alignment horizontal="center"/>
      <protection locked="0"/>
    </xf>
    <xf numFmtId="0" fontId="2" fillId="0" borderId="1" xfId="0" applyFont="1" applyBorder="1" applyAlignment="1" applyProtection="1">
      <alignment horizontal="center" vertical="center" wrapText="1"/>
      <protection locked="0"/>
    </xf>
    <xf numFmtId="0" fontId="1" fillId="0" borderId="1" xfId="0" applyFont="1" applyBorder="1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2" fillId="0" borderId="1" xfId="0" applyFont="1" applyBorder="1" applyAlignment="1" applyProtection="1">
      <alignment vertical="center"/>
      <protection locked="0"/>
    </xf>
    <xf numFmtId="1" fontId="1" fillId="2" borderId="1" xfId="0" applyNumberFormat="1" applyFont="1" applyFill="1" applyBorder="1" applyAlignment="1" applyProtection="1">
      <alignment horizontal="center" vertical="center"/>
      <protection locked="0"/>
    </xf>
    <xf numFmtId="0" fontId="4" fillId="0" borderId="0" xfId="0" quotePrefix="1" applyFont="1" applyAlignment="1" applyProtection="1">
      <alignment horizontal="center" wrapText="1"/>
      <protection locked="0"/>
    </xf>
    <xf numFmtId="0" fontId="1" fillId="0" borderId="0" xfId="0" applyFont="1" applyAlignment="1" applyProtection="1">
      <alignment wrapText="1"/>
      <protection locked="0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1" fontId="4" fillId="0" borderId="0" xfId="0" quotePrefix="1" applyNumberFormat="1" applyFont="1" applyAlignment="1" applyProtection="1">
      <alignment horizontal="center" wrapText="1"/>
      <protection locked="0"/>
    </xf>
    <xf numFmtId="0" fontId="2" fillId="0" borderId="7" xfId="0" applyFont="1" applyBorder="1" applyAlignment="1" applyProtection="1">
      <alignment horizontal="center" vertical="center" wrapText="1"/>
      <protection locked="0"/>
    </xf>
    <xf numFmtId="0" fontId="1" fillId="0" borderId="7" xfId="0" applyFont="1" applyBorder="1" applyAlignment="1" applyProtection="1">
      <alignment horizontal="center" vertical="center" wrapText="1"/>
      <protection locked="0"/>
    </xf>
    <xf numFmtId="164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0" borderId="8" xfId="0" applyFont="1" applyBorder="1" applyAlignment="1" applyProtection="1">
      <alignment horizontal="center" vertical="center"/>
      <protection locked="0"/>
    </xf>
    <xf numFmtId="0" fontId="2" fillId="0" borderId="0" xfId="0" applyFont="1" applyAlignment="1" applyProtection="1">
      <alignment horizontal="center" vertical="center" wrapText="1"/>
      <protection locked="0"/>
    </xf>
    <xf numFmtId="0" fontId="2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 vertical="center" wrapText="1"/>
      <protection locked="0"/>
    </xf>
    <xf numFmtId="0" fontId="4" fillId="0" borderId="0" xfId="0" applyFont="1" applyProtection="1">
      <protection locked="0"/>
    </xf>
    <xf numFmtId="2" fontId="1" fillId="2" borderId="1" xfId="0" applyNumberFormat="1" applyFont="1" applyFill="1" applyBorder="1" applyAlignment="1">
      <alignment horizontal="center" vertical="center"/>
    </xf>
    <xf numFmtId="1" fontId="1" fillId="2" borderId="1" xfId="0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0" xfId="0" applyFont="1"/>
    <xf numFmtId="0" fontId="1" fillId="0" borderId="12" xfId="0" applyFont="1" applyBorder="1" applyProtection="1">
      <protection locked="0"/>
    </xf>
    <xf numFmtId="0" fontId="1" fillId="0" borderId="13" xfId="0" applyFont="1" applyBorder="1" applyProtection="1">
      <protection locked="0"/>
    </xf>
    <xf numFmtId="0" fontId="2" fillId="0" borderId="11" xfId="0" applyFont="1" applyBorder="1" applyProtection="1">
      <protection locked="0"/>
    </xf>
    <xf numFmtId="0" fontId="2" fillId="3" borderId="2" xfId="0" applyFont="1" applyFill="1" applyBorder="1" applyAlignment="1" applyProtection="1">
      <alignment horizontal="left"/>
      <protection locked="0"/>
    </xf>
    <xf numFmtId="0" fontId="1" fillId="3" borderId="3" xfId="0" applyFont="1" applyFill="1" applyBorder="1" applyProtection="1">
      <protection locked="0"/>
    </xf>
    <xf numFmtId="0" fontId="1" fillId="3" borderId="7" xfId="0" applyFont="1" applyFill="1" applyBorder="1" applyProtection="1">
      <protection locked="0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0" xfId="0" applyFont="1" applyAlignment="1" applyProtection="1">
      <alignment horizontal="left" vertical="top" wrapText="1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styles" Target="style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10" Type="http://schemas.microsoft.com/office/2006/relationships/vbaProject" Target="vbaProject.bin"/><Relationship Id="rId4" Type="http://schemas.openxmlformats.org/officeDocument/2006/relationships/sharedStrings" Target="sharedStrings.xml"/><Relationship Id="rId9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Drop" dropStyle="combo" dx="31" fmlaLink="$B$10" fmlaRange="$L$20:$L$21" noThreeD="1" sel="0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12700</xdr:rowOff>
        </xdr:from>
        <xdr:to>
          <xdr:col>1</xdr:col>
          <xdr:colOff>1238250</xdr:colOff>
          <xdr:row>9</xdr:row>
          <xdr:rowOff>323850</xdr:rowOff>
        </xdr:to>
        <xdr:sp macro="" textlink="">
          <xdr:nvSpPr>
            <xdr:cNvPr id="1037" name="Drop Dow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38CB0C-EEE4-436D-9E4D-DE015F4BBC67}">
  <sheetPr codeName="Sheet1"/>
  <dimension ref="A1:R21"/>
  <sheetViews>
    <sheetView tabSelected="1" zoomScaleNormal="100" workbookViewId="0">
      <selection activeCell="Q9" sqref="Q9"/>
    </sheetView>
  </sheetViews>
  <sheetFormatPr defaultColWidth="8.81640625" defaultRowHeight="18.5" x14ac:dyDescent="0.45"/>
  <cols>
    <col min="1" max="1" width="34.453125" style="2" customWidth="1"/>
    <col min="2" max="2" width="18.1796875" style="2" customWidth="1"/>
    <col min="3" max="3" width="15.36328125" style="2" customWidth="1"/>
    <col min="4" max="4" width="8.81640625" style="2"/>
    <col min="5" max="6" width="8.81640625" style="2" hidden="1" customWidth="1"/>
    <col min="7" max="7" width="12.08984375" style="2" customWidth="1"/>
    <col min="8" max="8" width="10.90625" style="2" customWidth="1"/>
    <col min="9" max="9" width="10.81640625" style="2" hidden="1" customWidth="1"/>
    <col min="10" max="10" width="10.1796875" style="2" hidden="1" customWidth="1"/>
    <col min="11" max="11" width="8.81640625" style="2" customWidth="1"/>
    <col min="12" max="12" width="17" style="2" customWidth="1"/>
    <col min="13" max="13" width="8.81640625" style="2"/>
    <col min="14" max="14" width="12.81640625" style="2" customWidth="1"/>
    <col min="15" max="15" width="8.81640625" style="2"/>
    <col min="16" max="17" width="13" style="2" bestFit="1" customWidth="1"/>
    <col min="18" max="16384" width="8.81640625" style="2"/>
  </cols>
  <sheetData>
    <row r="1" spans="1:18" x14ac:dyDescent="0.45">
      <c r="A1" s="1" t="s">
        <v>18</v>
      </c>
      <c r="C1" s="37" t="s">
        <v>32</v>
      </c>
      <c r="D1" s="35"/>
      <c r="E1" s="35"/>
      <c r="F1" s="35"/>
      <c r="G1" s="35"/>
      <c r="H1" s="35"/>
      <c r="I1" s="35"/>
      <c r="J1" s="35"/>
      <c r="K1" s="35"/>
      <c r="L1" s="35"/>
      <c r="M1" s="35"/>
      <c r="N1" s="35"/>
      <c r="O1" s="35"/>
      <c r="P1" s="35"/>
      <c r="Q1" s="36"/>
    </row>
    <row r="2" spans="1:18" ht="18.649999999999999" customHeight="1" x14ac:dyDescent="0.45">
      <c r="A2" s="4" t="s">
        <v>25</v>
      </c>
    </row>
    <row r="3" spans="1:18" x14ac:dyDescent="0.45">
      <c r="A3" s="5" t="s">
        <v>17</v>
      </c>
      <c r="G3" s="38" t="s">
        <v>13</v>
      </c>
      <c r="H3" s="39"/>
      <c r="I3" s="40"/>
      <c r="J3" s="6"/>
    </row>
    <row r="4" spans="1:18" x14ac:dyDescent="0.45">
      <c r="A4" s="4" t="s">
        <v>19</v>
      </c>
      <c r="G4" s="7" t="s">
        <v>14</v>
      </c>
      <c r="H4" s="8"/>
      <c r="I4" s="9"/>
      <c r="J4" s="8"/>
    </row>
    <row r="5" spans="1:18" ht="37" x14ac:dyDescent="0.45">
      <c r="A5" s="10" t="s">
        <v>11</v>
      </c>
      <c r="B5" s="11" t="s">
        <v>15</v>
      </c>
      <c r="C5" s="11" t="s">
        <v>12</v>
      </c>
      <c r="G5" s="10" t="s">
        <v>16</v>
      </c>
      <c r="H5" s="10" t="s">
        <v>25</v>
      </c>
      <c r="I5" s="10" t="s">
        <v>24</v>
      </c>
      <c r="J5" s="10" t="s">
        <v>23</v>
      </c>
      <c r="M5" s="12" t="s">
        <v>19</v>
      </c>
      <c r="N5" s="13" t="s">
        <v>20</v>
      </c>
      <c r="O5" s="12"/>
    </row>
    <row r="6" spans="1:18" ht="21.65" customHeight="1" x14ac:dyDescent="0.45">
      <c r="A6" s="14" t="s">
        <v>6</v>
      </c>
      <c r="B6" s="15" t="s">
        <v>35</v>
      </c>
      <c r="C6" s="16"/>
      <c r="G6" s="17" t="s">
        <v>0</v>
      </c>
      <c r="H6" s="32">
        <f>IF(B6="-5 - 5", CEILING(C6*6550.4, 1),
 IF(B6="-25 - 25", CEILING(C6*6550.4/5, 1), ""))</f>
        <v>0</v>
      </c>
      <c r="I6" s="32">
        <f>IF(B6="-0.5 - 0.5", CEILING(C6*30000, 1),
 IF(B6="-5 - 5", CEILING(C6*30000/10, 1), ""))</f>
        <v>0</v>
      </c>
      <c r="J6" s="32">
        <f>IF(B6="-0.2 - 0.2", _xlfn.CEILING.MATH(C6*29925), IF(B6="-2 - 2", _xlfn.CEILING.MATH(C6*29925/10), IF(B6="-20 - 20", _xlfn.CEILING.MATH(C6*29925/100), 0)))</f>
        <v>0</v>
      </c>
      <c r="K6" s="41" t="s">
        <v>26</v>
      </c>
      <c r="L6" s="42"/>
      <c r="M6" s="13" t="s">
        <v>19</v>
      </c>
      <c r="N6" s="19" t="s">
        <v>21</v>
      </c>
      <c r="O6" s="19"/>
      <c r="P6" s="20"/>
      <c r="Q6" s="20"/>
    </row>
    <row r="7" spans="1:18" ht="20.399999999999999" customHeight="1" x14ac:dyDescent="0.45">
      <c r="A7" s="14" t="s">
        <v>7</v>
      </c>
      <c r="B7" s="15" t="s">
        <v>36</v>
      </c>
      <c r="C7" s="21"/>
      <c r="G7" s="17" t="s">
        <v>1</v>
      </c>
      <c r="H7" s="32">
        <f>_xlfn.CEILING.MATH(C7/32)</f>
        <v>0</v>
      </c>
      <c r="I7" s="32">
        <f>_xlfn.CEILING.MATH(C7/8)</f>
        <v>0</v>
      </c>
      <c r="J7" s="32">
        <f>_xlfn.CEILING.MATH(C7/3.2)</f>
        <v>0</v>
      </c>
      <c r="K7" s="41"/>
      <c r="L7" s="42"/>
      <c r="M7" s="12" t="s">
        <v>19</v>
      </c>
      <c r="N7" s="22" t="s">
        <v>21</v>
      </c>
      <c r="O7" s="19" t="s">
        <v>22</v>
      </c>
      <c r="P7" s="20"/>
      <c r="Q7" s="20"/>
    </row>
    <row r="8" spans="1:18" ht="21" customHeight="1" x14ac:dyDescent="0.45">
      <c r="A8" s="14" t="s">
        <v>8</v>
      </c>
      <c r="B8" s="15" t="s">
        <v>36</v>
      </c>
      <c r="C8" s="18"/>
      <c r="G8" s="17" t="s">
        <v>2</v>
      </c>
      <c r="H8" s="32">
        <f>_xlfn.CEILING.MATH(C8/32)</f>
        <v>0</v>
      </c>
      <c r="I8" s="32">
        <f>_xlfn.CEILING.MATH(C8/8)</f>
        <v>0</v>
      </c>
      <c r="J8" s="32">
        <f>_xlfn.CEILING.MATH(C8/3.2)</f>
        <v>0</v>
      </c>
      <c r="K8" s="41"/>
      <c r="L8" s="42"/>
      <c r="N8" s="20"/>
      <c r="O8" s="20"/>
      <c r="P8" s="20"/>
      <c r="Q8" s="20"/>
    </row>
    <row r="9" spans="1:18" ht="39.65" customHeight="1" x14ac:dyDescent="0.45">
      <c r="A9" s="14" t="s">
        <v>10</v>
      </c>
      <c r="B9" s="15" t="s">
        <v>33</v>
      </c>
      <c r="C9" s="18"/>
      <c r="G9" s="17" t="s">
        <v>3</v>
      </c>
      <c r="H9" s="32">
        <f>_xlfn.CEILING.MATH(C9)</f>
        <v>0</v>
      </c>
      <c r="I9" s="32">
        <f>_xlfn.CEILING.MATH(C9)</f>
        <v>0</v>
      </c>
      <c r="J9" s="32">
        <f>_xlfn.CEILING.MATH(C9)</f>
        <v>0</v>
      </c>
      <c r="M9" s="20"/>
      <c r="N9" s="20"/>
      <c r="O9" s="20"/>
      <c r="P9" s="20"/>
      <c r="Q9" s="20"/>
    </row>
    <row r="10" spans="1:18" ht="26" customHeight="1" x14ac:dyDescent="0.45">
      <c r="A10" s="14" t="s">
        <v>29</v>
      </c>
      <c r="B10" s="15"/>
      <c r="C10" s="31" t="str" cm="1">
        <f t="array" ref="C10">IF(B10=0,"",INDEX(L20:L21,B10))</f>
        <v/>
      </c>
      <c r="G10" s="17" t="s">
        <v>4</v>
      </c>
      <c r="H10" s="32" t="str">
        <f>_xlfn.XLOOKUP(C10, Q15:Q16, R15:R16, "")</f>
        <v/>
      </c>
      <c r="I10" s="32" t="str">
        <f>_xlfn.XLOOKUP(C10, Q15:Q16, R15:R16, "")</f>
        <v/>
      </c>
      <c r="J10" s="32" t="str">
        <f>_xlfn.XLOOKUP(C10, Q15:Q16, R15:R16, "")</f>
        <v/>
      </c>
      <c r="M10" s="20"/>
      <c r="O10" s="20"/>
      <c r="P10" s="20"/>
      <c r="Q10" s="20"/>
    </row>
    <row r="11" spans="1:18" ht="38.4" customHeight="1" x14ac:dyDescent="0.45">
      <c r="A11" s="23" t="s">
        <v>9</v>
      </c>
      <c r="B11" s="24" t="s">
        <v>34</v>
      </c>
      <c r="C11" s="25"/>
      <c r="G11" s="17" t="s">
        <v>5</v>
      </c>
      <c r="H11" s="32">
        <f>_xlfn.CEILING.MATH(C11*65536)</f>
        <v>0</v>
      </c>
      <c r="I11" s="32">
        <f>_xlfn.CEILING.MATH(C11*65536)</f>
        <v>0</v>
      </c>
      <c r="J11" s="32">
        <f>_xlfn.CEILING.MATH(C11*65536)</f>
        <v>0</v>
      </c>
      <c r="M11" s="20"/>
      <c r="O11" s="20"/>
      <c r="P11" s="20"/>
      <c r="Q11" s="20"/>
    </row>
    <row r="12" spans="1:18" ht="18" customHeight="1" x14ac:dyDescent="0.45">
      <c r="A12" s="3"/>
      <c r="B12" s="26"/>
      <c r="I12" s="20"/>
      <c r="J12" s="20"/>
      <c r="K12" s="20"/>
      <c r="L12" s="20"/>
      <c r="M12" s="20"/>
      <c r="O12" s="20"/>
      <c r="P12" s="20"/>
      <c r="Q12" s="20"/>
    </row>
    <row r="13" spans="1:18" x14ac:dyDescent="0.45">
      <c r="A13" s="27" t="s">
        <v>27</v>
      </c>
      <c r="B13" s="33" t="str">
        <f>IF(OR(C11=0, C9=0, C8=0, C11="", C9="", C8=""), "", 1/((1/C11)*(1/C9)*(1/(_xlfn.CEILING.MATH(C8/32)))))</f>
        <v/>
      </c>
      <c r="I13" s="20"/>
      <c r="J13" s="20"/>
      <c r="K13" s="20"/>
      <c r="L13" s="20"/>
      <c r="M13" s="20"/>
      <c r="N13" s="20"/>
      <c r="O13" s="20"/>
      <c r="P13" s="20"/>
      <c r="Q13" s="20"/>
    </row>
    <row r="14" spans="1:18" x14ac:dyDescent="0.45">
      <c r="A14" s="28" t="s">
        <v>28</v>
      </c>
      <c r="B14" s="34" t="str">
        <f>IF(OR(C11=0, C9=0, C11="", C9=""), "", 1/((1/C11)*(1/C9)))</f>
        <v/>
      </c>
    </row>
    <row r="15" spans="1:18" x14ac:dyDescent="0.45">
      <c r="N15" s="29"/>
      <c r="Q15" s="30" t="s">
        <v>30</v>
      </c>
      <c r="R15" s="12">
        <v>0</v>
      </c>
    </row>
    <row r="16" spans="1:18" x14ac:dyDescent="0.45">
      <c r="N16" s="29"/>
      <c r="Q16" s="30" t="s">
        <v>31</v>
      </c>
      <c r="R16" s="12">
        <v>2</v>
      </c>
    </row>
    <row r="17" spans="12:14" x14ac:dyDescent="0.45">
      <c r="N17" s="29"/>
    </row>
    <row r="20" spans="12:14" x14ac:dyDescent="0.45">
      <c r="L20" s="30" t="s">
        <v>30</v>
      </c>
    </row>
    <row r="21" spans="12:14" x14ac:dyDescent="0.45">
      <c r="L21" s="30" t="s">
        <v>31</v>
      </c>
    </row>
  </sheetData>
  <sheetProtection selectLockedCells="1"/>
  <mergeCells count="1">
    <mergeCell ref="K6:L8"/>
  </mergeCells>
  <dataValidations count="2">
    <dataValidation type="list" allowBlank="1" showInputMessage="1" showErrorMessage="1" sqref="A2" xr:uid="{A60CA8E9-B645-4819-874F-EDF7666E864B}">
      <formula1>$H$5:$J$5</formula1>
    </dataValidation>
    <dataValidation type="list" allowBlank="1" showInputMessage="1" showErrorMessage="1" sqref="A4" xr:uid="{91DF31D1-8684-4F5B-BB1F-6D1F32741790}">
      <formula1>INDIRECT(A2)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" r:id="rId4" name="Drop Down 13">
              <controlPr defaultSize="0" autoLine="0" autoPict="0">
                <anchor moveWithCells="1">
                  <from>
                    <xdr:col>1</xdr:col>
                    <xdr:colOff>19050</xdr:colOff>
                    <xdr:row>9</xdr:row>
                    <xdr:rowOff>12700</xdr:rowOff>
                  </from>
                  <to>
                    <xdr:col>1</xdr:col>
                    <xdr:colOff>1238250</xdr:colOff>
                    <xdr:row>9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37F8C020C42864BA8A4858BDFFA6429" ma:contentTypeVersion="1" ma:contentTypeDescription="Create a new document." ma:contentTypeScope="" ma:versionID="4890050ca4c0c185aed4962c398a374b">
  <xsd:schema xmlns:xsd="http://www.w3.org/2001/XMLSchema" xmlns:xs="http://www.w3.org/2001/XMLSchema" xmlns:p="http://schemas.microsoft.com/office/2006/metadata/properties" xmlns:ns3="7dfda8ac-bad8-47c8-b65d-e73f860a3c6a" targetNamespace="http://schemas.microsoft.com/office/2006/metadata/properties" ma:root="true" ma:fieldsID="57b506e2997f1e673e792802f9c8170a" ns3:_="">
    <xsd:import namespace="7dfda8ac-bad8-47c8-b65d-e73f860a3c6a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dfda8ac-bad8-47c8-b65d-e73f860a3c6a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3B46CDC4-F5E3-49A3-9A37-CC69E04A5DC8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0F9638B-9FC3-442D-ACF1-87BA675604C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dfda8ac-bad8-47c8-b65d-e73f860a3c6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24C05AC0-CF13-464C-85F6-0F1C66423C76}">
  <ds:schemaRefs>
    <ds:schemaRef ds:uri="http://purl.org/dc/dcmitype/"/>
    <ds:schemaRef ds:uri="7dfda8ac-bad8-47c8-b65d-e73f860a3c6a"/>
    <ds:schemaRef ds:uri="http://www.w3.org/XML/1998/namespace"/>
    <ds:schemaRef ds:uri="http://purl.org/dc/elements/1.1/"/>
    <ds:schemaRef ds:uri="http://purl.org/dc/terms/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schemas.microsoft.com/office/2006/metadata/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4" baseType="lpstr">
      <vt:lpstr>Sheet1</vt:lpstr>
      <vt:lpstr>MokuGo</vt:lpstr>
      <vt:lpstr>MokuLab</vt:lpstr>
      <vt:lpstr>MokuPro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Laura Becerra</dc:creator>
  <cp:lastModifiedBy>Laura Becerra</cp:lastModifiedBy>
  <dcterms:created xsi:type="dcterms:W3CDTF">2024-11-20T23:31:51Z</dcterms:created>
  <dcterms:modified xsi:type="dcterms:W3CDTF">2025-05-22T21:39:43Z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0x010100537F8C020C42864BA8A4858BDFFA6429</vt:lpwstr>
  </property>
</Properties>
</file>