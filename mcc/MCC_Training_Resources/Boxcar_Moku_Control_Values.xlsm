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ura\Documents\Git\Git\moku-examples\mcc\HDLCoder\hdlcoder_boxcar\"/>
    </mc:Choice>
  </mc:AlternateContent>
  <xr:revisionPtr revIDLastSave="0" documentId="13_ncr:1_{286829AE-44A0-465D-B37A-F79514F6B475}" xr6:coauthVersionLast="47" xr6:coauthVersionMax="47" xr10:uidLastSave="{00000000-0000-0000-0000-000000000000}"/>
  <bookViews>
    <workbookView xWindow="1800" yWindow="2950" windowWidth="26160" windowHeight="16070" xr2:uid="{01A0A53E-A3B7-450A-A2E0-587E41CE111F}"/>
  </bookViews>
  <sheets>
    <sheet name="Sheet1" sheetId="1" r:id="rId1"/>
  </sheets>
  <definedNames>
    <definedName name="_xleta.DB" hidden="1" xlm="1">#NAME?</definedName>
    <definedName name="MokuGo">Sheet1!$M$5:$N$5</definedName>
    <definedName name="MokuLab">Sheet1!$M$6:$N$6</definedName>
    <definedName name="MokuPro">Sheet1!$M$7:$O$7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14" i="1"/>
  <c r="I7" i="1"/>
  <c r="I8" i="1"/>
  <c r="H6" i="1"/>
  <c r="I6" i="1"/>
  <c r="J6" i="1"/>
  <c r="H9" i="1"/>
  <c r="I9" i="1"/>
  <c r="J9" i="1"/>
  <c r="H8" i="1"/>
  <c r="J8" i="1"/>
  <c r="I10" i="1"/>
  <c r="J10" i="1"/>
  <c r="H10" i="1"/>
  <c r="J7" i="1" l="1"/>
  <c r="H7" i="1"/>
  <c r="I11" i="1"/>
  <c r="H11" i="1"/>
  <c r="J11" i="1"/>
</calcChain>
</file>

<file path=xl/sharedStrings.xml><?xml version="1.0" encoding="utf-8"?>
<sst xmlns="http://schemas.openxmlformats.org/spreadsheetml/2006/main" count="41" uniqueCount="35">
  <si>
    <t>Control0</t>
  </si>
  <si>
    <t>Control1</t>
  </si>
  <si>
    <t>Control2</t>
  </si>
  <si>
    <t>Control3</t>
  </si>
  <si>
    <t>Control4</t>
  </si>
  <si>
    <t>Control5</t>
  </si>
  <si>
    <t>Trigger Level (V)</t>
  </si>
  <si>
    <t>Trigger Delay (ns)</t>
  </si>
  <si>
    <t>Boxcar Gate Width (ns)</t>
  </si>
  <si>
    <t>Output Signal Gain Factor (1, 10, etc.)</t>
  </si>
  <si>
    <t>Output / Align Mode (Enter "O" for Output or "A" for Align)</t>
  </si>
  <si>
    <t>Averager Length (# of Boxcar Integrations for Average)</t>
  </si>
  <si>
    <t>Boxcar Input Parameters</t>
  </si>
  <si>
    <t>Your Input Parameters</t>
  </si>
  <si>
    <t>Input Control Values</t>
  </si>
  <si>
    <t>Decimal (Unsigned)</t>
  </si>
  <si>
    <t>1 - 65535</t>
  </si>
  <si>
    <t>A or O</t>
  </si>
  <si>
    <t>Input range limits</t>
  </si>
  <si>
    <t>Register</t>
  </si>
  <si>
    <t>1/(2^16) - 65536 (Typically &lt;1)</t>
  </si>
  <si>
    <t>Select Input Attennuation:</t>
  </si>
  <si>
    <t>Select Your Moku Device:</t>
  </si>
  <si>
    <t>0 dB</t>
  </si>
  <si>
    <t>-14 dB</t>
  </si>
  <si>
    <t>-20 dB</t>
  </si>
  <si>
    <t>-40 dB</t>
  </si>
  <si>
    <t>MokuPro</t>
  </si>
  <si>
    <t>MokuLab</t>
  </si>
  <si>
    <t>MokuGo</t>
  </si>
  <si>
    <t>-0.2 - 0.2</t>
  </si>
  <si>
    <t>0 - 209715</t>
  </si>
  <si>
    <t>NOTE: If trigger level &lt; 0, use Decimal (Signed) for Control0</t>
  </si>
  <si>
    <t>Average output scale factor:</t>
  </si>
  <si>
    <t>Integral output scale factor: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</si>
</sst>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wrapText="1"/>
    </xf>
    <xf numFmtId="2" fontId="1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/>
    </xf>
    <xf numFmtId="0" fontId="1" fillId="3" borderId="3" xfId="0" applyFont="1" applyFill="1" applyBorder="1"/>
    <xf numFmtId="0" fontId="2" fillId="3" borderId="5" xfId="0" applyFont="1" applyFill="1" applyBorder="1"/>
    <xf numFmtId="0" fontId="1" fillId="3" borderId="4" xfId="0" applyFont="1" applyFill="1" applyBorder="1"/>
    <xf numFmtId="164" fontId="1" fillId="2" borderId="1" xfId="0" applyNumberFormat="1" applyFont="1" applyFill="1" applyBorder="1" applyAlignment="1">
      <alignment horizontal="center" vertical="center"/>
    </xf>
    <xf numFmtId="0" fontId="1" fillId="3" borderId="6" xfId="0" applyFont="1" applyFill="1" applyBorder="1"/>
    <xf numFmtId="0" fontId="1" fillId="3" borderId="7" xfId="0" applyFont="1" applyFill="1" applyBorder="1"/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0" fontId="4" fillId="0" borderId="0" xfId="0" quotePrefix="1" applyFont="1" applyAlignment="1">
      <alignment horizontal="center" wrapText="1"/>
    </xf>
    <xf numFmtId="11" fontId="4" fillId="0" borderId="0" xfId="0" quotePrefix="1" applyNumberFormat="1" applyFont="1" applyAlignment="1">
      <alignment horizontal="center" wrapText="1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/>
    <xf numFmtId="0" fontId="2" fillId="0" borderId="0" xfId="0" applyFont="1" applyAlignment="1">
      <alignment horizontal="center"/>
    </xf>
    <xf numFmtId="0" fontId="1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CB0C-EEE4-436D-9E4D-DE015F4BBC67}">
  <sheetPr codeName="Sheet1"/>
  <dimension ref="A1:Q17"/>
  <sheetViews>
    <sheetView tabSelected="1" zoomScale="137" zoomScaleNormal="137" workbookViewId="0">
      <selection activeCell="B14" sqref="B14"/>
    </sheetView>
  </sheetViews>
  <sheetFormatPr defaultColWidth="8.81640625" defaultRowHeight="18.5" x14ac:dyDescent="0.45"/>
  <cols>
    <col min="1" max="1" width="34.453125" style="1" customWidth="1"/>
    <col min="2" max="2" width="18.453125" style="1" customWidth="1"/>
    <col min="3" max="3" width="15.36328125" style="1" customWidth="1"/>
    <col min="4" max="4" width="8.81640625" style="1"/>
    <col min="5" max="6" width="8.81640625" style="1" hidden="1" customWidth="1"/>
    <col min="7" max="7" width="12.08984375" style="1" customWidth="1"/>
    <col min="8" max="8" width="10.90625" style="1" hidden="1" customWidth="1"/>
    <col min="9" max="9" width="10.81640625" style="1" hidden="1" customWidth="1"/>
    <col min="10" max="10" width="11" style="1" customWidth="1"/>
    <col min="11" max="11" width="8.81640625" style="1" customWidth="1"/>
    <col min="12" max="12" width="17" style="1" customWidth="1"/>
    <col min="13" max="13" width="8.81640625" style="1"/>
    <col min="14" max="14" width="12.81640625" style="1" customWidth="1"/>
    <col min="15" max="15" width="8.81640625" style="1"/>
    <col min="16" max="17" width="13" style="1" bestFit="1" customWidth="1"/>
    <col min="18" max="16384" width="8.81640625" style="1"/>
  </cols>
  <sheetData>
    <row r="1" spans="1:17" x14ac:dyDescent="0.45">
      <c r="A1" s="9" t="s">
        <v>22</v>
      </c>
    </row>
    <row r="2" spans="1:17" ht="18.649999999999999" customHeight="1" x14ac:dyDescent="0.45">
      <c r="A2" s="3" t="s">
        <v>27</v>
      </c>
    </row>
    <row r="3" spans="1:17" x14ac:dyDescent="0.45">
      <c r="A3" s="25" t="s">
        <v>21</v>
      </c>
      <c r="G3" s="14" t="s">
        <v>14</v>
      </c>
      <c r="H3" s="15"/>
      <c r="I3" s="20"/>
      <c r="J3" s="15"/>
    </row>
    <row r="4" spans="1:17" x14ac:dyDescent="0.45">
      <c r="A4" s="3" t="s">
        <v>23</v>
      </c>
      <c r="G4" s="16" t="s">
        <v>15</v>
      </c>
      <c r="H4" s="17"/>
      <c r="I4" s="19"/>
      <c r="J4" s="17"/>
    </row>
    <row r="5" spans="1:17" ht="37" x14ac:dyDescent="0.45">
      <c r="A5" s="12" t="s">
        <v>12</v>
      </c>
      <c r="B5" s="13" t="s">
        <v>18</v>
      </c>
      <c r="C5" s="13" t="s">
        <v>13</v>
      </c>
      <c r="G5" s="12" t="s">
        <v>19</v>
      </c>
      <c r="H5" s="12" t="s">
        <v>29</v>
      </c>
      <c r="I5" s="12" t="s">
        <v>28</v>
      </c>
      <c r="J5" s="12" t="s">
        <v>27</v>
      </c>
      <c r="M5" s="21" t="s">
        <v>23</v>
      </c>
      <c r="N5" s="22" t="s">
        <v>24</v>
      </c>
      <c r="O5" s="21"/>
    </row>
    <row r="6" spans="1:17" ht="21.65" customHeight="1" x14ac:dyDescent="0.45">
      <c r="A6" s="4" t="s">
        <v>6</v>
      </c>
      <c r="B6" s="5" t="s">
        <v>30</v>
      </c>
      <c r="C6" s="7"/>
      <c r="G6" s="2" t="s">
        <v>0</v>
      </c>
      <c r="H6" s="8">
        <f>IF(B6="-5 - 5",C6*6550.4, IF(B6="-25 - 25",C6*6550.4/5,0))</f>
        <v>0</v>
      </c>
      <c r="I6" s="8">
        <f>IF(B6="-0.5 - 0.5",C6*30000, IF(B6="-5 - 5",C6*30000/10,0))</f>
        <v>0</v>
      </c>
      <c r="J6" s="8">
        <f>IF(B6="-0.2 - 0.2", C6*29925, IF(B6="-2 - 2", C6*29925/10, IF(B6="-20 - 20", C6*29925/100, 0)))</f>
        <v>0</v>
      </c>
      <c r="K6" s="33" t="s">
        <v>32</v>
      </c>
      <c r="L6" s="34"/>
      <c r="M6" s="22" t="s">
        <v>23</v>
      </c>
      <c r="N6" s="23" t="s">
        <v>25</v>
      </c>
      <c r="O6" s="23"/>
      <c r="P6" s="6"/>
      <c r="Q6" s="6"/>
    </row>
    <row r="7" spans="1:17" ht="20.399999999999999" customHeight="1" x14ac:dyDescent="0.45">
      <c r="A7" s="4" t="s">
        <v>7</v>
      </c>
      <c r="B7" s="5" t="s">
        <v>31</v>
      </c>
      <c r="C7" s="11"/>
      <c r="G7" s="2" t="s">
        <v>1</v>
      </c>
      <c r="H7" s="8">
        <f>_xlfn.CEILING.MATH(C7/32)</f>
        <v>0</v>
      </c>
      <c r="I7" s="8">
        <f>_xlfn.CEILING.MATH(C7/8)</f>
        <v>0</v>
      </c>
      <c r="J7" s="8">
        <f>_xlfn.CEILING.MATH(C7/3.2)</f>
        <v>0</v>
      </c>
      <c r="K7" s="33"/>
      <c r="L7" s="34"/>
      <c r="M7" s="21" t="s">
        <v>23</v>
      </c>
      <c r="N7" s="24" t="s">
        <v>25</v>
      </c>
      <c r="O7" s="23" t="s">
        <v>26</v>
      </c>
      <c r="P7" s="6"/>
      <c r="Q7" s="6"/>
    </row>
    <row r="8" spans="1:17" ht="21" customHeight="1" x14ac:dyDescent="0.45">
      <c r="A8" s="4" t="s">
        <v>8</v>
      </c>
      <c r="B8" s="5" t="s">
        <v>31</v>
      </c>
      <c r="C8" s="8"/>
      <c r="G8" s="2" t="s">
        <v>2</v>
      </c>
      <c r="H8" s="8">
        <f>_xlfn.CEILING.MATH(C8/32)</f>
        <v>0</v>
      </c>
      <c r="I8" s="8">
        <f>_xlfn.CEILING.MATH(C8/8)</f>
        <v>0</v>
      </c>
      <c r="J8" s="8">
        <f>_xlfn.CEILING.MATH(C8/3.2)</f>
        <v>0</v>
      </c>
      <c r="K8" s="33"/>
      <c r="L8" s="34"/>
      <c r="N8" s="6"/>
      <c r="O8" s="6"/>
      <c r="P8" s="6"/>
      <c r="Q8" s="6"/>
    </row>
    <row r="9" spans="1:17" ht="39.65" customHeight="1" x14ac:dyDescent="0.45">
      <c r="A9" s="4" t="s">
        <v>11</v>
      </c>
      <c r="B9" s="5" t="s">
        <v>16</v>
      </c>
      <c r="C9" s="8"/>
      <c r="G9" s="2" t="s">
        <v>3</v>
      </c>
      <c r="H9" s="8">
        <f>C9</f>
        <v>0</v>
      </c>
      <c r="I9" s="8">
        <f>C9</f>
        <v>0</v>
      </c>
      <c r="J9" s="8">
        <f>C9</f>
        <v>0</v>
      </c>
      <c r="M9" s="6"/>
      <c r="N9" s="6"/>
      <c r="O9" s="6"/>
      <c r="P9" s="6"/>
      <c r="Q9" s="6"/>
    </row>
    <row r="10" spans="1:17" ht="42.65" customHeight="1" x14ac:dyDescent="0.45">
      <c r="A10" s="4" t="s">
        <v>10</v>
      </c>
      <c r="B10" s="5" t="s">
        <v>17</v>
      </c>
      <c r="C10" s="7"/>
      <c r="G10" s="2" t="s">
        <v>4</v>
      </c>
      <c r="H10" s="8" t="str">
        <f>IF(C10="O",0,IF(C10="A",2,""))</f>
        <v/>
      </c>
      <c r="I10" s="8" t="str">
        <f>IF(C10="O",0,IF(C10="A",2,""))</f>
        <v/>
      </c>
      <c r="J10" s="8" t="str">
        <f>IF(C10="O",0,IF(C10="A",2,""))</f>
        <v/>
      </c>
      <c r="M10" s="6"/>
      <c r="O10" s="6"/>
      <c r="P10" s="6"/>
      <c r="Q10" s="6"/>
    </row>
    <row r="11" spans="1:17" ht="38.4" customHeight="1" x14ac:dyDescent="0.45">
      <c r="A11" s="28" t="s">
        <v>9</v>
      </c>
      <c r="B11" s="27" t="s">
        <v>20</v>
      </c>
      <c r="C11" s="18"/>
      <c r="G11" s="2" t="s">
        <v>5</v>
      </c>
      <c r="H11" s="8">
        <f>C11*65536</f>
        <v>0</v>
      </c>
      <c r="I11" s="8">
        <f>C11*65536</f>
        <v>0</v>
      </c>
      <c r="J11" s="8">
        <f>C11*65536</f>
        <v>0</v>
      </c>
      <c r="M11" s="6"/>
      <c r="O11" s="6"/>
      <c r="P11" s="6"/>
      <c r="Q11" s="6"/>
    </row>
    <row r="12" spans="1:17" ht="18" customHeight="1" x14ac:dyDescent="0.45">
      <c r="A12" s="31"/>
      <c r="B12" s="30"/>
      <c r="I12" s="6"/>
      <c r="J12" s="6"/>
      <c r="K12" s="6"/>
      <c r="L12" s="6"/>
      <c r="M12" s="6"/>
      <c r="O12" s="6"/>
      <c r="P12" s="6"/>
      <c r="Q12" s="6"/>
    </row>
    <row r="13" spans="1:17" x14ac:dyDescent="0.45">
      <c r="A13" s="29" t="s">
        <v>33</v>
      </c>
      <c r="B13" s="26" t="str">
        <f>IF(OR(C11=0, C9=0, C8=0, C11="", C9="", C8=""), "", 1/((1/C11)*(1/C9)*(1/(_xlfn.CEILING.MATH(C8/3.2)))))</f>
        <v/>
      </c>
      <c r="I13" s="6"/>
      <c r="J13" s="6"/>
      <c r="K13" s="6"/>
      <c r="L13" s="6"/>
      <c r="M13" s="6"/>
      <c r="N13" s="6"/>
      <c r="O13" s="6"/>
      <c r="P13" s="6"/>
      <c r="Q13" s="6"/>
    </row>
    <row r="14" spans="1:17" x14ac:dyDescent="0.45">
      <c r="A14" s="32" t="s">
        <v>34</v>
      </c>
      <c r="B14" s="26" t="str">
        <f>IF(OR(C11=0, C9=0, C11="", C9=""), "", 1/((1/C11)*(1/C9)))</f>
        <v/>
      </c>
    </row>
    <row r="15" spans="1:17" x14ac:dyDescent="0.45">
      <c r="N15" s="10"/>
    </row>
    <row r="16" spans="1:17" x14ac:dyDescent="0.45">
      <c r="N16" s="10"/>
    </row>
    <row r="17" spans="14:14" x14ac:dyDescent="0.45">
      <c r="N17" s="10"/>
    </row>
  </sheetData>
  <mergeCells count="1">
    <mergeCell ref="K6:L8"/>
  </mergeCells>
  <dataValidations count="2">
    <dataValidation type="list" allowBlank="1" showInputMessage="1" showErrorMessage="1" sqref="A2" xr:uid="{A60CA8E9-B645-4819-874F-EDF7666E864B}">
      <formula1>$H$5:$J$5</formula1>
    </dataValidation>
    <dataValidation type="list" allowBlank="1" showInputMessage="1" showErrorMessage="1" sqref="A4" xr:uid="{91DF31D1-8684-4F5B-BB1F-6D1F32741790}">
      <formula1>INDIRECT(A2)</formula1>
    </dataValidation>
  </dataValidations>
  <pageMargins left="0.7" right="0.7" top="0.75" bottom="0.75" header="0.3" footer="0.3"/>
  <pageSetup orientation="portrait" r:id="rId1"/>
  <ignoredErrors>
    <ignoredError sqref="I10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7F8C020C42864BA8A4858BDFFA6429" ma:contentTypeVersion="1" ma:contentTypeDescription="Create a new document." ma:contentTypeScope="" ma:versionID="4890050ca4c0c185aed4962c398a374b">
  <xsd:schema xmlns:xsd="http://www.w3.org/2001/XMLSchema" xmlns:xs="http://www.w3.org/2001/XMLSchema" xmlns:p="http://schemas.microsoft.com/office/2006/metadata/properties" xmlns:ns3="7dfda8ac-bad8-47c8-b65d-e73f860a3c6a" targetNamespace="http://schemas.microsoft.com/office/2006/metadata/properties" ma:root="true" ma:fieldsID="57b506e2997f1e673e792802f9c8170a" ns3:_="">
    <xsd:import namespace="7dfda8ac-bad8-47c8-b65d-e73f860a3c6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da8ac-bad8-47c8-b65d-e73f860a3c6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9638B-9FC3-442D-ACF1-87BA675604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da8ac-bad8-47c8-b65d-e73f860a3c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4C05AC0-CF13-464C-85F6-0F1C66423C76}">
  <ds:schemaRefs>
    <ds:schemaRef ds:uri="http://purl.org/dc/dcmitype/"/>
    <ds:schemaRef ds:uri="7dfda8ac-bad8-47c8-b65d-e73f860a3c6a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3B46CDC4-F5E3-49A3-9A37-CC69E04A5DC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MokuGo</vt:lpstr>
      <vt:lpstr>MokuLab</vt:lpstr>
      <vt:lpstr>MokuPro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Becerra</dc:creator>
  <cp:lastModifiedBy>Laura Becerra</cp:lastModifiedBy>
  <dcterms:created xsi:type="dcterms:W3CDTF">2024-11-20T23:31:51Z</dcterms:created>
  <dcterms:modified xsi:type="dcterms:W3CDTF">2025-01-15T00:09:33Z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0x010100537F8C020C42864BA8A4858BDFFA6429</vt:lpwstr>
  </property>
</Properties>
</file>